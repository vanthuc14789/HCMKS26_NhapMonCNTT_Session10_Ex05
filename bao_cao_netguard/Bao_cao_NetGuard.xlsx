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hcm_ks26_cntt2\IT108\session_12\bao_cao_netguard\"/>
    </mc:Choice>
  </mc:AlternateContent>
  <xr:revisionPtr revIDLastSave="0" documentId="13_ncr:1_{42F3FA5A-A587-455A-8073-1B44DA7671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ữ liệu cảnh báo thô" sheetId="1" r:id="rId1"/>
    <sheet name="Bảng định nghĩa loại mã độc" sheetId="2" r:id="rId2"/>
    <sheet name="Báo cáo an nin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</calcChain>
</file>

<file path=xl/sharedStrings.xml><?xml version="1.0" encoding="utf-8"?>
<sst xmlns="http://schemas.openxmlformats.org/spreadsheetml/2006/main" count="61" uniqueCount="27">
  <si>
    <t>Thời gian</t>
  </si>
  <si>
    <t>Nguồn</t>
  </si>
  <si>
    <t>Loại mã độc (ID)</t>
  </si>
  <si>
    <t>Mức độ</t>
  </si>
  <si>
    <t>Cao</t>
  </si>
  <si>
    <t>Trung bình</t>
  </si>
  <si>
    <t>MDL_1023</t>
  </si>
  <si>
    <t>MDL_2045</t>
  </si>
  <si>
    <t>MDL_3099</t>
  </si>
  <si>
    <t>IP đích</t>
  </si>
  <si>
    <t>10.0.0.5</t>
  </si>
  <si>
    <t>10.0.0.8</t>
  </si>
  <si>
    <t>10.0.0.12</t>
  </si>
  <si>
    <t>192.168.1.10</t>
  </si>
  <si>
    <t>192.168.1.23</t>
  </si>
  <si>
    <t>Mã loại</t>
  </si>
  <si>
    <t>Tên mã độc</t>
  </si>
  <si>
    <t>Emotet</t>
  </si>
  <si>
    <t>Lokibot</t>
  </si>
  <si>
    <t>Cobalt Strike</t>
  </si>
  <si>
    <t>Mô tả</t>
  </si>
  <si>
    <t>Banking Trojan</t>
  </si>
  <si>
    <t>Info Stealer</t>
  </si>
  <si>
    <t>Penetration Tool</t>
  </si>
  <si>
    <t>Mức độ mặc định</t>
  </si>
  <si>
    <t>MDL_1024</t>
  </si>
  <si>
    <t>MDL_1025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</si>
</sst>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20" sqref="E20"/>
    </sheetView>
  </sheetViews>
  <sheetFormatPr defaultRowHeight="14.4" x14ac:dyDescent="0.3"/>
  <cols>
    <col min="1" max="1" width="13.6640625" customWidth="1"/>
    <col min="2" max="2" width="17.77734375" customWidth="1"/>
    <col min="3" max="3" width="15.21875" customWidth="1"/>
    <col min="4" max="4" width="15.77734375" customWidth="1"/>
  </cols>
  <sheetData>
    <row r="1" spans="1:5" x14ac:dyDescent="0.3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</row>
    <row r="2" spans="1:5" x14ac:dyDescent="0.3">
      <c r="A2" s="1">
        <v>45432.3440162037</v>
      </c>
      <c r="B2" t="s">
        <v>13</v>
      </c>
      <c r="C2" t="s">
        <v>10</v>
      </c>
      <c r="D2" t="s">
        <v>6</v>
      </c>
      <c r="E2" t="s">
        <v>4</v>
      </c>
    </row>
    <row r="3" spans="1:5" x14ac:dyDescent="0.3">
      <c r="A3" s="1">
        <v>191529.34526620372</v>
      </c>
      <c r="B3" t="s">
        <v>14</v>
      </c>
      <c r="C3" t="s">
        <v>11</v>
      </c>
      <c r="D3" t="s">
        <v>25</v>
      </c>
      <c r="E3" t="s">
        <v>5</v>
      </c>
    </row>
    <row r="4" spans="1:5" x14ac:dyDescent="0.3">
      <c r="A4" s="1">
        <v>45432.347939814812</v>
      </c>
      <c r="B4" t="s">
        <v>13</v>
      </c>
      <c r="C4" t="s">
        <v>12</v>
      </c>
      <c r="D4" t="s">
        <v>26</v>
      </c>
      <c r="E4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B682-1FA9-445C-AAE1-9EA0F4F57A48}">
  <dimension ref="A1:D4"/>
  <sheetViews>
    <sheetView workbookViewId="0"/>
  </sheetViews>
  <sheetFormatPr defaultRowHeight="14.4" x14ac:dyDescent="0.3"/>
  <cols>
    <col min="1" max="1" width="10.6640625" customWidth="1"/>
    <col min="2" max="2" width="11.5546875" customWidth="1"/>
    <col min="3" max="3" width="16.88671875" customWidth="1"/>
    <col min="4" max="4" width="15.77734375" customWidth="1"/>
  </cols>
  <sheetData>
    <row r="1" spans="1:4" x14ac:dyDescent="0.3">
      <c r="A1" s="2" t="s">
        <v>15</v>
      </c>
      <c r="B1" s="2" t="s">
        <v>16</v>
      </c>
      <c r="C1" s="2" t="s">
        <v>20</v>
      </c>
      <c r="D1" s="2" t="s">
        <v>24</v>
      </c>
    </row>
    <row r="2" spans="1:4" x14ac:dyDescent="0.3">
      <c r="A2" t="s">
        <v>6</v>
      </c>
      <c r="B2" t="s">
        <v>17</v>
      </c>
      <c r="C2" t="s">
        <v>21</v>
      </c>
      <c r="D2" t="s">
        <v>4</v>
      </c>
    </row>
    <row r="3" spans="1:4" x14ac:dyDescent="0.3">
      <c r="A3" t="s">
        <v>7</v>
      </c>
      <c r="B3" t="s">
        <v>18</v>
      </c>
      <c r="C3" t="s">
        <v>22</v>
      </c>
      <c r="D3" t="s">
        <v>5</v>
      </c>
    </row>
    <row r="4" spans="1:4" x14ac:dyDescent="0.3">
      <c r="A4" t="s">
        <v>8</v>
      </c>
      <c r="B4" t="s">
        <v>19</v>
      </c>
      <c r="C4" t="s">
        <v>23</v>
      </c>
      <c r="D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3C43-7980-4F09-856C-0C462F0EBF5B}">
  <dimension ref="A1:D25"/>
  <sheetViews>
    <sheetView tabSelected="1" workbookViewId="0">
      <selection activeCell="I10" sqref="I10"/>
    </sheetView>
  </sheetViews>
  <sheetFormatPr defaultRowHeight="14.4" x14ac:dyDescent="0.3"/>
  <cols>
    <col min="1" max="1" width="13.6640625" bestFit="1" customWidth="1"/>
    <col min="2" max="2" width="12.33203125" customWidth="1"/>
    <col min="3" max="3" width="11.88671875" customWidth="1"/>
  </cols>
  <sheetData>
    <row r="1" spans="1:4" x14ac:dyDescent="0.3">
      <c r="A1" s="2" t="s">
        <v>0</v>
      </c>
      <c r="B1" t="s">
        <v>15</v>
      </c>
      <c r="C1" t="s">
        <v>16</v>
      </c>
      <c r="D1" t="s">
        <v>3</v>
      </c>
    </row>
    <row r="2" spans="1:4" x14ac:dyDescent="0.3">
      <c r="A2" s="1">
        <v>45432.3440162037</v>
      </c>
      <c r="B2" t="s">
        <v>6</v>
      </c>
      <c r="C2" t="str">
        <f>VLOOKUP(B2,'Bảng định nghĩa loại mã độc'!$A$2:$D$4,2,FALSE)</f>
        <v>Emotet</v>
      </c>
      <c r="D2" t="str">
        <f>VLOOKUP($B$2,'Bảng định nghĩa loại mã độc'!$A$1:$D$4,4,FALSE)</f>
        <v>Cao</v>
      </c>
    </row>
    <row r="3" spans="1:4" x14ac:dyDescent="0.3">
      <c r="A3" s="1">
        <v>45433.344016145835</v>
      </c>
      <c r="B3" t="s">
        <v>7</v>
      </c>
      <c r="C3" t="str">
        <f>VLOOKUP(B3,'Bảng định nghĩa loại mã độc'!$A$2:$D$4,2,FALSE)</f>
        <v>Lokibot</v>
      </c>
      <c r="D3" t="str">
        <f>VLOOKUP($B$2,'Bảng định nghĩa loại mã độc'!$A$1:$D$4,4,FALSE)</f>
        <v>Cao</v>
      </c>
    </row>
    <row r="4" spans="1:4" x14ac:dyDescent="0.3">
      <c r="A4" s="1">
        <v>45434.344016145835</v>
      </c>
      <c r="B4" t="s">
        <v>8</v>
      </c>
      <c r="C4" t="str">
        <f>VLOOKUP(B4,'Bảng định nghĩa loại mã độc'!$A$2:$D$4,2,FALSE)</f>
        <v>Cobalt Strike</v>
      </c>
      <c r="D4" t="str">
        <f>VLOOKUP($B$2,'Bảng định nghĩa loại mã độc'!$A$1:$D$4,4,FALSE)</f>
        <v>Cao</v>
      </c>
    </row>
    <row r="5" spans="1:4" x14ac:dyDescent="0.3">
      <c r="A5" s="1">
        <v>45435.344016145835</v>
      </c>
      <c r="B5" t="s">
        <v>6</v>
      </c>
      <c r="C5" t="str">
        <f>VLOOKUP(B5,'Bảng định nghĩa loại mã độc'!$A$2:$D$4,2,FALSE)</f>
        <v>Emotet</v>
      </c>
      <c r="D5" t="str">
        <f>VLOOKUP($B$2,'Bảng định nghĩa loại mã độc'!$A$1:$D$4,4,FALSE)</f>
        <v>Cao</v>
      </c>
    </row>
    <row r="6" spans="1:4" x14ac:dyDescent="0.3">
      <c r="A6" s="1">
        <v>45436.344016145835</v>
      </c>
      <c r="B6" t="s">
        <v>7</v>
      </c>
      <c r="C6" t="str">
        <f>VLOOKUP(B6,'Bảng định nghĩa loại mã độc'!$A$2:$D$4,2,FALSE)</f>
        <v>Lokibot</v>
      </c>
      <c r="D6" t="str">
        <f>VLOOKUP($B$2,'Bảng định nghĩa loại mã độc'!$A$1:$D$4,4,FALSE)</f>
        <v>Cao</v>
      </c>
    </row>
    <row r="7" spans="1:4" x14ac:dyDescent="0.3">
      <c r="A7" s="1">
        <v>45437.344016145835</v>
      </c>
      <c r="B7" t="s">
        <v>8</v>
      </c>
      <c r="C7" t="str">
        <f>VLOOKUP(B7,'Bảng định nghĩa loại mã độc'!$A$2:$D$4,2,FALSE)</f>
        <v>Cobalt Strike</v>
      </c>
      <c r="D7" t="str">
        <f>VLOOKUP($B$2,'Bảng định nghĩa loại mã độc'!$A$1:$D$4,4,FALSE)</f>
        <v>Cao</v>
      </c>
    </row>
    <row r="8" spans="1:4" x14ac:dyDescent="0.3">
      <c r="A8" s="1">
        <v>45438.344016145835</v>
      </c>
      <c r="B8" t="s">
        <v>6</v>
      </c>
      <c r="C8" t="str">
        <f>VLOOKUP(B8,'Bảng định nghĩa loại mã độc'!$A$2:$D$4,2,FALSE)</f>
        <v>Emotet</v>
      </c>
      <c r="D8" t="str">
        <f>VLOOKUP($B$2,'Bảng định nghĩa loại mã độc'!$A$1:$D$4,4,FALSE)</f>
        <v>Cao</v>
      </c>
    </row>
    <row r="9" spans="1:4" x14ac:dyDescent="0.3">
      <c r="A9" s="1">
        <v>45439.344016145835</v>
      </c>
      <c r="B9" t="s">
        <v>7</v>
      </c>
      <c r="C9" t="str">
        <f>VLOOKUP(B9,'Bảng định nghĩa loại mã độc'!$A$2:$D$4,2,FALSE)</f>
        <v>Lokibot</v>
      </c>
      <c r="D9" t="str">
        <f>VLOOKUP($B$2,'Bảng định nghĩa loại mã độc'!$A$1:$D$4,4,FALSE)</f>
        <v>Cao</v>
      </c>
    </row>
    <row r="10" spans="1:4" x14ac:dyDescent="0.3">
      <c r="A10" s="1">
        <v>45440.344016145835</v>
      </c>
      <c r="B10" t="s">
        <v>8</v>
      </c>
      <c r="C10" t="str">
        <f>VLOOKUP(B10,'Bảng định nghĩa loại mã độc'!$A$2:$D$4,2,FALSE)</f>
        <v>Cobalt Strike</v>
      </c>
      <c r="D10" t="str">
        <f>VLOOKUP($B$2,'Bảng định nghĩa loại mã độc'!$A$1:$D$4,4,FALSE)</f>
        <v>Cao</v>
      </c>
    </row>
    <row r="11" spans="1:4" x14ac:dyDescent="0.3">
      <c r="A11" s="1">
        <v>45441.344016145835</v>
      </c>
      <c r="B11" t="s">
        <v>6</v>
      </c>
      <c r="C11" t="str">
        <f>VLOOKUP(B11,'Bảng định nghĩa loại mã độc'!$A$2:$D$4,2,FALSE)</f>
        <v>Emotet</v>
      </c>
      <c r="D11" t="str">
        <f>VLOOKUP($B$2,'Bảng định nghĩa loại mã độc'!$A$1:$D$4,4,FALSE)</f>
        <v>Cao</v>
      </c>
    </row>
    <row r="12" spans="1:4" x14ac:dyDescent="0.3">
      <c r="A12" s="1">
        <v>45442.344016145835</v>
      </c>
      <c r="B12" t="s">
        <v>7</v>
      </c>
      <c r="C12" t="str">
        <f>VLOOKUP(B12,'Bảng định nghĩa loại mã độc'!$A$2:$D$4,2,FALSE)</f>
        <v>Lokibot</v>
      </c>
      <c r="D12" t="str">
        <f>VLOOKUP($B$2,'Bảng định nghĩa loại mã độc'!$A$1:$D$4,4,FALSE)</f>
        <v>Cao</v>
      </c>
    </row>
    <row r="13" spans="1:4" x14ac:dyDescent="0.3">
      <c r="A13" s="1">
        <v>45443.344016145835</v>
      </c>
      <c r="B13" t="s">
        <v>8</v>
      </c>
      <c r="C13" t="str">
        <f>VLOOKUP(B13,'Bảng định nghĩa loại mã độc'!$A$2:$D$4,2,FALSE)</f>
        <v>Cobalt Strike</v>
      </c>
      <c r="D13" t="str">
        <f>VLOOKUP($B$2,'Bảng định nghĩa loại mã độc'!$A$1:$D$4,4,FALSE)</f>
        <v>Cao</v>
      </c>
    </row>
    <row r="14" spans="1:4" x14ac:dyDescent="0.3">
      <c r="A14" s="1">
        <v>45444.344016145835</v>
      </c>
      <c r="B14" t="s">
        <v>6</v>
      </c>
      <c r="C14" t="str">
        <f>VLOOKUP(B14,'Bảng định nghĩa loại mã độc'!$A$2:$D$4,2,FALSE)</f>
        <v>Emotet</v>
      </c>
      <c r="D14" t="str">
        <f>VLOOKUP($B$2,'Bảng định nghĩa loại mã độc'!$A$1:$D$4,4,FALSE)</f>
        <v>Cao</v>
      </c>
    </row>
    <row r="15" spans="1:4" x14ac:dyDescent="0.3">
      <c r="A15" s="1">
        <v>45445.344016145835</v>
      </c>
      <c r="B15" t="s">
        <v>7</v>
      </c>
      <c r="C15" t="str">
        <f>VLOOKUP(B15,'Bảng định nghĩa loại mã độc'!$A$2:$D$4,2,FALSE)</f>
        <v>Lokibot</v>
      </c>
      <c r="D15" t="str">
        <f>VLOOKUP($B$2,'Bảng định nghĩa loại mã độc'!$A$1:$D$4,4,FALSE)</f>
        <v>Cao</v>
      </c>
    </row>
    <row r="16" spans="1:4" x14ac:dyDescent="0.3">
      <c r="A16" s="1">
        <v>45446.344016145835</v>
      </c>
      <c r="B16" t="s">
        <v>8</v>
      </c>
      <c r="C16" t="str">
        <f>VLOOKUP(B16,'Bảng định nghĩa loại mã độc'!$A$2:$D$4,2,FALSE)</f>
        <v>Cobalt Strike</v>
      </c>
      <c r="D16" t="str">
        <f>VLOOKUP($B$2,'Bảng định nghĩa loại mã độc'!$A$1:$D$4,4,FALSE)</f>
        <v>Cao</v>
      </c>
    </row>
    <row r="17" spans="1:4" x14ac:dyDescent="0.3">
      <c r="A17" s="1">
        <v>45447.344016145835</v>
      </c>
      <c r="B17" t="s">
        <v>8</v>
      </c>
      <c r="C17" t="str">
        <f>VLOOKUP(B17,'Bảng định nghĩa loại mã độc'!$A$2:$D$4,2,FALSE)</f>
        <v>Cobalt Strike</v>
      </c>
      <c r="D17" t="str">
        <f>VLOOKUP($B$2,'Bảng định nghĩa loại mã độc'!$A$1:$D$4,4,FALSE)</f>
        <v>Cao</v>
      </c>
    </row>
    <row r="18" spans="1:4" x14ac:dyDescent="0.3">
      <c r="A18" s="1">
        <v>45448.344016145835</v>
      </c>
      <c r="B18" t="s">
        <v>6</v>
      </c>
      <c r="C18" t="str">
        <f>VLOOKUP(B18,'Bảng định nghĩa loại mã độc'!$A$2:$D$4,2,FALSE)</f>
        <v>Emotet</v>
      </c>
      <c r="D18" t="str">
        <f>VLOOKUP($B$2,'Bảng định nghĩa loại mã độc'!$A$1:$D$4,4,FALSE)</f>
        <v>Cao</v>
      </c>
    </row>
    <row r="19" spans="1:4" x14ac:dyDescent="0.3">
      <c r="A19" s="1">
        <v>45449.344016145835</v>
      </c>
      <c r="B19" t="s">
        <v>7</v>
      </c>
      <c r="C19" t="str">
        <f>VLOOKUP(B19,'Bảng định nghĩa loại mã độc'!$A$2:$D$4,2,FALSE)</f>
        <v>Lokibot</v>
      </c>
      <c r="D19" t="str">
        <f>VLOOKUP($B$2,'Bảng định nghĩa loại mã độc'!$A$1:$D$4,4,FALSE)</f>
        <v>Cao</v>
      </c>
    </row>
    <row r="20" spans="1:4" x14ac:dyDescent="0.3">
      <c r="A20" s="1">
        <v>45450.344016145835</v>
      </c>
      <c r="B20" t="s">
        <v>8</v>
      </c>
      <c r="C20" t="str">
        <f>VLOOKUP(B20,'Bảng định nghĩa loại mã độc'!$A$2:$D$4,2,FALSE)</f>
        <v>Cobalt Strike</v>
      </c>
      <c r="D20" t="str">
        <f>VLOOKUP($B$2,'Bảng định nghĩa loại mã độc'!$A$1:$D$4,4,FALSE)</f>
        <v>Cao</v>
      </c>
    </row>
    <row r="21" spans="1:4" x14ac:dyDescent="0.3">
      <c r="A21" s="1">
        <v>45451.344016145835</v>
      </c>
      <c r="B21" t="s">
        <v>6</v>
      </c>
      <c r="C21" t="str">
        <f>VLOOKUP(B21,'Bảng định nghĩa loại mã độc'!$A$2:$D$4,2,FALSE)</f>
        <v>Emotet</v>
      </c>
      <c r="D21" t="str">
        <f>VLOOKUP($B$2,'Bảng định nghĩa loại mã độc'!$A$1:$D$4,4,FALSE)</f>
        <v>Cao</v>
      </c>
    </row>
    <row r="22" spans="1:4" x14ac:dyDescent="0.3">
      <c r="A22" s="1">
        <v>45452.344016145835</v>
      </c>
      <c r="B22" t="s">
        <v>7</v>
      </c>
      <c r="C22" t="str">
        <f>VLOOKUP(B22,'Bảng định nghĩa loại mã độc'!$A$2:$D$4,2,FALSE)</f>
        <v>Lokibot</v>
      </c>
      <c r="D22" t="str">
        <f>VLOOKUP($B$2,'Bảng định nghĩa loại mã độc'!$A$1:$D$4,4,FALSE)</f>
        <v>Cao</v>
      </c>
    </row>
    <row r="23" spans="1:4" x14ac:dyDescent="0.3">
      <c r="A23" s="1">
        <v>45453.344016145835</v>
      </c>
      <c r="B23" t="s">
        <v>8</v>
      </c>
      <c r="C23" t="str">
        <f>VLOOKUP(B23,'Bảng định nghĩa loại mã độc'!$A$2:$D$4,2,FALSE)</f>
        <v>Cobalt Strike</v>
      </c>
      <c r="D23" t="str">
        <f>VLOOKUP($B$2,'Bảng định nghĩa loại mã độc'!$A$1:$D$4,4,FALSE)</f>
        <v>Cao</v>
      </c>
    </row>
    <row r="24" spans="1:4" x14ac:dyDescent="0.3">
      <c r="A24" s="1">
        <v>45454.344016145835</v>
      </c>
      <c r="B24" t="s">
        <v>8</v>
      </c>
      <c r="C24" t="str">
        <f>VLOOKUP(B24,'Bảng định nghĩa loại mã độc'!$A$2:$D$4,2,FALSE)</f>
        <v>Cobalt Strike</v>
      </c>
      <c r="D24" t="str">
        <f>VLOOKUP($B$2,'Bảng định nghĩa loại mã độc'!$A$1:$D$4,4,FALSE)</f>
        <v>Cao</v>
      </c>
    </row>
    <row r="25" spans="1:4" x14ac:dyDescent="0.3">
      <c r="A25" s="1">
        <v>45455.344016145835</v>
      </c>
      <c r="B25" t="s">
        <v>6</v>
      </c>
      <c r="C25" t="str">
        <f>VLOOKUP(B25,'Bảng định nghĩa loại mã độc'!$A$2:$D$4,2,FALSE)</f>
        <v>Emotet</v>
      </c>
      <c r="D25" t="str">
        <f>VLOOKUP($B$2,'Bảng định nghĩa loại mã độc'!$A$1:$D$4,4,FALSE)</f>
        <v>Cao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 cảnh báo thô</vt:lpstr>
      <vt:lpstr>Bảng định nghĩa loại mã độc</vt:lpstr>
      <vt:lpstr>Báo cáo an ninh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MinhTam</dc:creator>
  <cp:lastModifiedBy>Minh Tâm Đoàn Nguyễn</cp:lastModifiedBy>
  <dcterms:created xsi:type="dcterms:W3CDTF">2015-06-05T18:17:20Z</dcterms:created>
  <dcterms:modified xsi:type="dcterms:W3CDTF">2026-10-26T20:29:28Z</dcterms:modified>
</cp:coreProperties>
</file>